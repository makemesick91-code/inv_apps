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Codes" sheetId="1" r:id="rId1"/>
    <sheet name="Observations" sheetId="2" r:id="rId3"/>
  </sheets>
  <calcPr fullCalcOnLoad="1"/>
</workbook>
</file>

<file path=xl/sharedStrings.xml><?xml version="1.0" encoding="utf-8"?>
<sst xmlns="http://schemas.openxmlformats.org/spreadsheetml/2006/main" count="74" uniqueCount="74">
  <si>
    <t>code</t>
  </si>
  <si>
    <t>activity</t>
  </si>
  <si>
    <t>definition</t>
  </si>
  <si>
    <t>measure_unit</t>
  </si>
  <si>
    <t>BM</t>
  </si>
  <si>
    <t>Barang Masuk</t>
  </si>
  <si>
    <t>Catat penerimaan barang dari supplier</t>
  </si>
  <si>
    <t>per_invoice_line</t>
  </si>
  <si>
    <t>BK</t>
  </si>
  <si>
    <t>Barang Keluar</t>
  </si>
  <si>
    <t>Catat pemakaian barang untuk perawatan</t>
  </si>
  <si>
    <t>per_transaksi</t>
  </si>
  <si>
    <t>SO</t>
  </si>
  <si>
    <t>Stock Opname</t>
  </si>
  <si>
    <t>Audit fisik mingguan: hitung + selisih + BA</t>
  </si>
  <si>
    <t>per_sesi_per_ruang</t>
  </si>
  <si>
    <t>TR</t>
  </si>
  <si>
    <t>Transfer Antar Ruang</t>
  </si>
  <si>
    <t>Pindah barang antar ruang/cabang + rekonsiliasi</t>
  </si>
  <si>
    <t>per_transfer</t>
  </si>
  <si>
    <t>EXP</t>
  </si>
  <si>
    <t>Cek Kedaluwarsa</t>
  </si>
  <si>
    <t>Cek tanggal expired periodic per ruang</t>
  </si>
  <si>
    <t>per_sesi</t>
  </si>
  <si>
    <t>LAP</t>
  </si>
  <si>
    <t>Buat Laporan</t>
  </si>
  <si>
    <t>Rekap bulanan jadi laporan</t>
  </si>
  <si>
    <t>per_laporan</t>
  </si>
  <si>
    <t>KON</t>
  </si>
  <si>
    <t>Konsolidasi Owner</t>
  </si>
  <si>
    <t>Gabungkan laporan 4 cabang</t>
  </si>
  <si>
    <t>per_periode</t>
  </si>
  <si>
    <t>LAIN</t>
  </si>
  <si>
    <t>Lainnya</t>
  </si>
  <si>
    <t>Aktivitas lain (jelaskan di notes)</t>
  </si>
  <si>
    <t>per_kejadian</t>
  </si>
  <si>
    <t>date</t>
  </si>
  <si>
    <t>start_time</t>
  </si>
  <si>
    <t>end_time</t>
  </si>
  <si>
    <t>duration_minutes</t>
  </si>
  <si>
    <t>observer</t>
  </si>
  <si>
    <t>subject_staff</t>
  </si>
  <si>
    <t>branch</t>
  </si>
  <si>
    <t>room</t>
  </si>
  <si>
    <t>activity_code</t>
  </si>
  <si>
    <t>item_count</t>
  </si>
  <si>
    <t>transaction_count</t>
  </si>
  <si>
    <t>notes</t>
  </si>
  <si>
    <t>2026-06-01</t>
  </si>
  <si>
    <t>08:30</t>
  </si>
  <si>
    <t>08:55</t>
  </si>
  <si>
    <t>Andi</t>
  </si>
  <si>
    <t>Sari (Perawat)</t>
  </si>
  <si>
    <t>Pusat</t>
  </si>
  <si>
    <t>Ruang Perawatan 1</t>
  </si>
  <si>
    <t>8 trx barang keluar pasien pagi</t>
  </si>
  <si>
    <t>10:00</t>
  </si>
  <si>
    <t>10:42</t>
  </si>
  <si>
    <t>Budi (Kepala)</t>
  </si>
  <si>
    <t>Gudang Utama</t>
  </si>
  <si>
    <t>Terima 1 invoice 15 line</t>
  </si>
  <si>
    <t>14:00</t>
  </si>
  <si>
    <t>14:18</t>
  </si>
  <si>
    <t/>
  </si>
  <si>
    <t>2026-06-02</t>
  </si>
  <si>
    <t>07:00</t>
  </si>
  <si>
    <t>07:25</t>
  </si>
  <si>
    <t>Cek expired periodic</t>
  </si>
  <si>
    <t>activity_name</t>
  </si>
  <si>
    <t>total_minutes</t>
  </si>
  <si>
    <t>total_count</t>
  </si>
  <si>
    <t>minutes_per_unit</t>
  </si>
  <si>
    <t>measured_hours</t>
  </si>
  <si>
    <t>TOTAL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</si>
</sst>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0.0672721862793" customWidth="1"/>
    <col min="3" max="3" width="43.6939353942871" customWidth="1"/>
    <col min="4" max="4" width="18.883584976196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9</v>
      </c>
      <c r="C3" s="0" t="s">
        <v>10</v>
      </c>
      <c r="D3" s="0" t="s">
        <v>11</v>
      </c>
    </row>
    <row r="4">
      <c r="A4" s="0" t="s">
        <v>12</v>
      </c>
      <c r="B4" s="0" t="s">
        <v>13</v>
      </c>
      <c r="C4" s="0" t="s">
        <v>14</v>
      </c>
      <c r="D4" s="0" t="s">
        <v>15</v>
      </c>
    </row>
    <row r="5">
      <c r="A5" s="0" t="s">
        <v>16</v>
      </c>
      <c r="B5" s="0" t="s">
        <v>17</v>
      </c>
      <c r="C5" s="0" t="s">
        <v>18</v>
      </c>
      <c r="D5" s="0" t="s">
        <v>19</v>
      </c>
    </row>
    <row r="6">
      <c r="A6" s="0" t="s">
        <v>20</v>
      </c>
      <c r="B6" s="0" t="s">
        <v>21</v>
      </c>
      <c r="C6" s="0" t="s">
        <v>22</v>
      </c>
      <c r="D6" s="0" t="s">
        <v>23</v>
      </c>
    </row>
    <row r="7">
      <c r="A7" s="0" t="s">
        <v>24</v>
      </c>
      <c r="B7" s="0" t="s">
        <v>25</v>
      </c>
      <c r="C7" s="0" t="s">
        <v>26</v>
      </c>
      <c r="D7" s="0" t="s">
        <v>27</v>
      </c>
    </row>
    <row r="8">
      <c r="A8" s="0" t="s">
        <v>28</v>
      </c>
      <c r="B8" s="0" t="s">
        <v>29</v>
      </c>
      <c r="C8" s="0" t="s">
        <v>30</v>
      </c>
      <c r="D8" s="0" t="s">
        <v>31</v>
      </c>
    </row>
    <row r="9">
      <c r="A9" s="0" t="s">
        <v>32</v>
      </c>
      <c r="B9" s="0" t="s">
        <v>33</v>
      </c>
      <c r="C9" s="0" t="s">
        <v>34</v>
      </c>
      <c r="D9" s="0" t="s">
        <v>35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L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1.4837522506714" customWidth="1"/>
    <col min="2" max="2" width="10.7972764968872" customWidth="1"/>
    <col min="3" max="3" width="10.0105381011963" customWidth="1"/>
    <col min="4" max="4" width="17.5300693511963" customWidth="1"/>
    <col min="5" max="5" width="9.3209924697876" customWidth="1"/>
    <col min="6" max="6" width="13.7559814453125" customWidth="1"/>
    <col min="7" max="7" width="9.140625" customWidth="1"/>
    <col min="8" max="8" width="18.4109287261963" customWidth="1"/>
    <col min="9" max="9" width="13.3631238937378" customWidth="1"/>
    <col min="10" max="10" width="11.735426902771" customWidth="1"/>
    <col min="11" max="11" width="17.7796974182129" customWidth="1"/>
    <col min="12" max="12" width="28.3193168640137" customWidth="1"/>
  </cols>
  <sheetData>
    <row r="1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</row>
    <row r="2">
      <c r="A2" s="0" t="s">
        <v>48</v>
      </c>
      <c r="B2" s="0" t="s">
        <v>49</v>
      </c>
      <c r="C2" s="0" t="s">
        <v>50</v>
      </c>
      <c r="D2" s="0">
        <v>25</v>
      </c>
      <c r="E2" s="0" t="s">
        <v>51</v>
      </c>
      <c r="F2" s="0" t="s">
        <v>52</v>
      </c>
      <c r="G2" s="0" t="s">
        <v>53</v>
      </c>
      <c r="H2" s="0" t="s">
        <v>54</v>
      </c>
      <c r="I2" s="0" t="s">
        <v>8</v>
      </c>
      <c r="J2" s="0">
        <v>1</v>
      </c>
      <c r="K2" s="0">
        <v>8</v>
      </c>
      <c r="L2" s="0" t="s">
        <v>55</v>
      </c>
    </row>
    <row r="3">
      <c r="A3" s="0" t="s">
        <v>48</v>
      </c>
      <c r="B3" s="0" t="s">
        <v>56</v>
      </c>
      <c r="C3" s="0" t="s">
        <v>57</v>
      </c>
      <c r="D3" s="0">
        <v>42</v>
      </c>
      <c r="E3" s="0" t="s">
        <v>51</v>
      </c>
      <c r="F3" s="0" t="s">
        <v>58</v>
      </c>
      <c r="G3" s="0" t="s">
        <v>53</v>
      </c>
      <c r="H3" s="0" t="s">
        <v>59</v>
      </c>
      <c r="I3" s="0" t="s">
        <v>4</v>
      </c>
      <c r="J3" s="0">
        <v>15</v>
      </c>
      <c r="K3" s="0">
        <v>1</v>
      </c>
      <c r="L3" s="0" t="s">
        <v>60</v>
      </c>
    </row>
    <row r="4">
      <c r="A4" s="0" t="s">
        <v>48</v>
      </c>
      <c r="B4" s="0" t="s">
        <v>61</v>
      </c>
      <c r="C4" s="0" t="s">
        <v>62</v>
      </c>
      <c r="D4" s="0">
        <v>18</v>
      </c>
      <c r="E4" s="0" t="s">
        <v>51</v>
      </c>
      <c r="F4" s="0" t="s">
        <v>52</v>
      </c>
      <c r="G4" s="0" t="s">
        <v>53</v>
      </c>
      <c r="H4" s="0" t="s">
        <v>54</v>
      </c>
      <c r="I4" s="0" t="s">
        <v>8</v>
      </c>
      <c r="J4" s="0">
        <v>1</v>
      </c>
      <c r="K4" s="0">
        <v>5</v>
      </c>
      <c r="L4" s="0" t="s">
        <v>63</v>
      </c>
    </row>
    <row r="5">
      <c r="A5" s="0" t="s">
        <v>64</v>
      </c>
      <c r="B5" s="0" t="s">
        <v>65</v>
      </c>
      <c r="C5" s="0" t="s">
        <v>66</v>
      </c>
      <c r="D5" s="0">
        <v>25</v>
      </c>
      <c r="E5" s="0" t="s">
        <v>51</v>
      </c>
      <c r="F5" s="0" t="s">
        <v>58</v>
      </c>
      <c r="G5" s="0" t="s">
        <v>53</v>
      </c>
      <c r="H5" s="0" t="s">
        <v>59</v>
      </c>
      <c r="I5" s="0" t="s">
        <v>20</v>
      </c>
      <c r="J5" s="0">
        <v>200</v>
      </c>
      <c r="K5" s="0">
        <v>0</v>
      </c>
      <c r="L5" s="0" t="s">
        <v>67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F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3.3631238937378" customWidth="1"/>
    <col min="2" max="2" width="20.0672721862793" customWidth="1"/>
    <col min="3" max="3" width="14.0363006591797" customWidth="1"/>
    <col min="4" max="4" width="11.8663787841797" customWidth="1"/>
    <col min="5" max="5" width="17.4666385650635" customWidth="1"/>
    <col min="6" max="6" width="16.5315570831299" customWidth="1"/>
  </cols>
  <sheetData>
    <row r="1">
      <c r="A1" s="3" t="s">
        <v>44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</row>
    <row r="2">
      <c r="A2" s="0" t="s">
        <v>4</v>
      </c>
      <c r="B2" s="0" t="s">
        <v>5</v>
      </c>
      <c r="C2" s="0">
        <f>SUMIF(Observations!I:I, A2, Observations!D:D)</f>
      </c>
      <c r="D2" s="0">
        <f>SUMIFS(Observations!K:K, Observations!I:I, A2) + SUMIFS(Observations!J:J, Observations!I:I, A2)</f>
      </c>
      <c r="E2" s="0">
        <f>IFERROR(C2/D2, 0)</f>
      </c>
      <c r="F2" s="0">
        <f>C2/60</f>
      </c>
    </row>
    <row r="3">
      <c r="A3" s="0" t="s">
        <v>8</v>
      </c>
      <c r="B3" s="0" t="s">
        <v>9</v>
      </c>
      <c r="C3" s="0">
        <f>SUMIF(Observations!I:I, A3, Observations!D:D)</f>
      </c>
      <c r="D3" s="0">
        <f>SUMIFS(Observations!K:K, Observations!I:I, A3) + SUMIFS(Observations!J:J, Observations!I:I, A3)</f>
      </c>
      <c r="E3" s="0">
        <f>IFERROR(C3/D3, 0)</f>
      </c>
      <c r="F3" s="0">
        <f>C3/60</f>
      </c>
    </row>
    <row r="4">
      <c r="A4" s="0" t="s">
        <v>12</v>
      </c>
      <c r="B4" s="0" t="s">
        <v>13</v>
      </c>
      <c r="C4" s="0">
        <f>SUMIF(Observations!I:I, A4, Observations!D:D)</f>
      </c>
      <c r="D4" s="0">
        <f>SUMIFS(Observations!K:K, Observations!I:I, A4) + SUMIFS(Observations!J:J, Observations!I:I, A4)</f>
      </c>
      <c r="E4" s="0">
        <f>IFERROR(C4/D4, 0)</f>
      </c>
      <c r="F4" s="0">
        <f>C4/60</f>
      </c>
    </row>
    <row r="5">
      <c r="A5" s="0" t="s">
        <v>16</v>
      </c>
      <c r="B5" s="0" t="s">
        <v>17</v>
      </c>
      <c r="C5" s="0">
        <f>SUMIF(Observations!I:I, A5, Observations!D:D)</f>
      </c>
      <c r="D5" s="0">
        <f>SUMIFS(Observations!K:K, Observations!I:I, A5) + SUMIFS(Observations!J:J, Observations!I:I, A5)</f>
      </c>
      <c r="E5" s="0">
        <f>IFERROR(C5/D5, 0)</f>
      </c>
      <c r="F5" s="0">
        <f>C5/60</f>
      </c>
    </row>
    <row r="6">
      <c r="A6" s="0" t="s">
        <v>20</v>
      </c>
      <c r="B6" s="0" t="s">
        <v>21</v>
      </c>
      <c r="C6" s="0">
        <f>SUMIF(Observations!I:I, A6, Observations!D:D)</f>
      </c>
      <c r="D6" s="0">
        <f>SUMIFS(Observations!K:K, Observations!I:I, A6) + SUMIFS(Observations!J:J, Observations!I:I, A6)</f>
      </c>
      <c r="E6" s="0">
        <f>IFERROR(C6/D6, 0)</f>
      </c>
      <c r="F6" s="0">
        <f>C6/60</f>
      </c>
    </row>
    <row r="7">
      <c r="A7" s="0" t="s">
        <v>24</v>
      </c>
      <c r="B7" s="0" t="s">
        <v>25</v>
      </c>
      <c r="C7" s="0">
        <f>SUMIF(Observations!I:I, A7, Observations!D:D)</f>
      </c>
      <c r="D7" s="0">
        <f>SUMIFS(Observations!K:K, Observations!I:I, A7) + SUMIFS(Observations!J:J, Observations!I:I, A7)</f>
      </c>
      <c r="E7" s="0">
        <f>IFERROR(C7/D7, 0)</f>
      </c>
      <c r="F7" s="0">
        <f>C7/60</f>
      </c>
    </row>
    <row r="8">
      <c r="A8" s="0" t="s">
        <v>28</v>
      </c>
      <c r="B8" s="0" t="s">
        <v>29</v>
      </c>
      <c r="C8" s="0">
        <f>SUMIF(Observations!I:I, A8, Observations!D:D)</f>
      </c>
      <c r="D8" s="0">
        <f>SUMIFS(Observations!K:K, Observations!I:I, A8) + SUMIFS(Observations!J:J, Observations!I:I, A8)</f>
      </c>
      <c r="E8" s="0">
        <f>IFERROR(C8/D8, 0)</f>
      </c>
      <c r="F8" s="0">
        <f>C8/60</f>
      </c>
    </row>
    <row r="9">
      <c r="A9" s="0" t="s">
        <v>32</v>
      </c>
      <c r="B9" s="0" t="s">
        <v>33</v>
      </c>
      <c r="C9" s="0">
        <f>SUMIF(Observations!I:I, A9, Observations!D:D)</f>
      </c>
      <c r="D9" s="0">
        <f>SUMIFS(Observations!K:K, Observations!I:I, A9) + SUMIFS(Observations!J:J, Observations!I:I, A9)</f>
      </c>
      <c r="E9" s="0">
        <f>IFERROR(C9/D9, 0)</f>
      </c>
      <c r="F9" s="0">
        <f>C9/60</f>
      </c>
    </row>
    <row r="10">
      <c r="B10" s="3" t="s">
        <v>73</v>
      </c>
      <c r="C10" s="3">
        <f>SUM(C2:C9)</f>
      </c>
      <c r="F10" s="3">
        <f>SUM(F2:F9)</f>
      </c>
    </row>
  </sheetData>
  <headerFooter/>
</worksheet>
</file>